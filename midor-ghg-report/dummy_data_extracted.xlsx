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mm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Definition</t>
        </is>
      </c>
      <c r="B1" s="1" t="inlineStr">
        <is>
          <t>Value</t>
        </is>
      </c>
    </row>
    <row r="2">
      <c r="A2" t="inlineStr">
        <is>
          <t>Total GHG emissions (Million tCO2e)</t>
        </is>
      </c>
      <c r="B2" t="inlineStr">
        <is>
          <t>37.05</t>
        </is>
      </c>
    </row>
    <row r="3">
      <c r="A3" t="inlineStr">
        <is>
          <t>Scope 1 emissions (Million tCO2e)</t>
        </is>
      </c>
      <c r="B3" t="inlineStr">
        <is>
          <t>1.80</t>
        </is>
      </c>
    </row>
    <row r="4">
      <c r="A4" t="inlineStr">
        <is>
          <t>Scope 2 emissions (Million tCO2e)</t>
        </is>
      </c>
      <c r="B4" t="inlineStr">
        <is>
          <t>0.25</t>
        </is>
      </c>
    </row>
    <row r="5">
      <c r="A5" t="inlineStr">
        <is>
          <t>Scope 3 emissions (Million tCO2e)</t>
        </is>
      </c>
      <c r="B5" t="inlineStr">
        <is>
          <t>35.0</t>
        </is>
      </c>
    </row>
    <row r="6">
      <c r="A6" t="inlineStr">
        <is>
          <t>Operational footprint Scope 1+2 (Million tCO2e)</t>
        </is>
      </c>
      <c r="B6" t="inlineStr">
        <is>
          <t>2.05</t>
        </is>
      </c>
    </row>
    <row r="7">
      <c r="A7" t="inlineStr">
        <is>
          <t>Operational footprint percentage of total</t>
        </is>
      </c>
      <c r="B7" t="inlineStr">
        <is>
          <t>5.5%</t>
        </is>
      </c>
    </row>
    <row r="8">
      <c r="A8" t="inlineStr">
        <is>
          <t>Intensity metric - tCO2e per kiloton crude</t>
        </is>
      </c>
      <c r="B8" t="inlineStr">
        <is>
          <t>702</t>
        </is>
      </c>
    </row>
    <row r="9">
      <c r="A9" t="inlineStr">
        <is>
          <t>Intensity metric - tCO2e per GJ fired duty</t>
        </is>
      </c>
      <c r="B9" t="inlineStr">
        <is>
          <t>0.031</t>
        </is>
      </c>
    </row>
    <row r="10">
      <c r="A10" t="inlineStr">
        <is>
          <t>Scope 1 - Stationary Combustion (tCO2e)</t>
        </is>
      </c>
      <c r="B10" t="inlineStr">
        <is>
          <t>1170000</t>
        </is>
      </c>
    </row>
    <row r="11">
      <c r="A11" t="inlineStr">
        <is>
          <t>Scope 1 - Process Emissions (tCO2e)</t>
        </is>
      </c>
      <c r="B11" t="inlineStr">
        <is>
          <t>324000</t>
        </is>
      </c>
    </row>
    <row r="12">
      <c r="A12" t="inlineStr">
        <is>
          <t>Scope 1 - Fugitive Emissions (tCO2e)</t>
        </is>
      </c>
      <c r="B12" t="inlineStr">
        <is>
          <t>216000</t>
        </is>
      </c>
    </row>
    <row r="13">
      <c r="A13" t="inlineStr">
        <is>
          <t>Scope 1 - Mobile Combustion (tCO2e)</t>
        </is>
      </c>
      <c r="B13" t="inlineStr">
        <is>
          <t>90000</t>
        </is>
      </c>
    </row>
    <row r="14">
      <c r="A14" t="inlineStr">
        <is>
          <t>Scope 1 - Stationary Combustion percentage</t>
        </is>
      </c>
      <c r="B14" t="inlineStr">
        <is>
          <t>65%</t>
        </is>
      </c>
    </row>
    <row r="15">
      <c r="A15" t="inlineStr">
        <is>
          <t>Scope 1 - Process Emissions percentage</t>
        </is>
      </c>
      <c r="B15" t="inlineStr">
        <is>
          <t>18%</t>
        </is>
      </c>
    </row>
    <row r="16">
      <c r="A16" t="inlineStr">
        <is>
          <t>Scope 1 - Fugitive Emissions percentage</t>
        </is>
      </c>
      <c r="B16" t="inlineStr">
        <is>
          <t>12%</t>
        </is>
      </c>
    </row>
    <row r="17">
      <c r="A17" t="inlineStr">
        <is>
          <t>Scope 1 - Mobile Combustion percentage</t>
        </is>
      </c>
      <c r="B17" t="inlineStr">
        <is>
          <t>5%</t>
        </is>
      </c>
    </row>
    <row r="18">
      <c r="A18" t="inlineStr">
        <is>
          <t>Scope 2 - Total electricity emissions (tCO2e)</t>
        </is>
      </c>
      <c r="B18" t="inlineStr">
        <is>
          <t>250000</t>
        </is>
      </c>
    </row>
    <row r="19">
      <c r="A19" t="inlineStr">
        <is>
          <t>Scope 2 - MIDELEC emissions (tCO2e)</t>
        </is>
      </c>
      <c r="B19" t="inlineStr">
        <is>
          <t>200000</t>
        </is>
      </c>
    </row>
    <row r="20">
      <c r="A20" t="inlineStr">
        <is>
          <t>Scope 2 - National Grid emissions (tCO2e)</t>
        </is>
      </c>
      <c r="B20" t="inlineStr">
        <is>
          <t>50000</t>
        </is>
      </c>
    </row>
    <row r="21">
      <c r="A21" t="inlineStr">
        <is>
          <t>Scope 2 - MIDELEC percentage</t>
        </is>
      </c>
      <c r="B21" t="inlineStr">
        <is>
          <t>80%</t>
        </is>
      </c>
    </row>
    <row r="22">
      <c r="A22" t="inlineStr">
        <is>
          <t>Scope 2 - National Grid percentage</t>
        </is>
      </c>
      <c r="B22" t="inlineStr">
        <is>
          <t>20%</t>
        </is>
      </c>
    </row>
    <row r="23">
      <c r="A23" t="inlineStr">
        <is>
          <t>Annual electricity consumption (GWh)</t>
        </is>
      </c>
      <c r="B23" t="inlineStr">
        <is>
          <t>447</t>
        </is>
      </c>
    </row>
    <row r="24">
      <c r="A24" t="inlineStr">
        <is>
          <t>Electricity intensity (MWh per kiloton crude)</t>
        </is>
      </c>
      <c r="B24" t="inlineStr">
        <is>
          <t>153</t>
        </is>
      </c>
    </row>
    <row r="25">
      <c r="A25" t="inlineStr">
        <is>
          <t>Scope 3 Cat 11 - Total emissions (tCO2e)</t>
        </is>
      </c>
      <c r="B25" t="inlineStr">
        <is>
          <t>34970000</t>
        </is>
      </c>
    </row>
    <row r="26">
      <c r="A26" t="inlineStr">
        <is>
          <t>Scope 3 Cat 11 - Diesel percentage</t>
        </is>
      </c>
      <c r="B26" t="inlineStr">
        <is>
          <t>35.0%</t>
        </is>
      </c>
    </row>
    <row r="27">
      <c r="A27" t="inlineStr">
        <is>
          <t>Scope 3 Cat 11 - Gasoline percentage</t>
        </is>
      </c>
      <c r="B27" t="inlineStr">
        <is>
          <t>30.0%</t>
        </is>
      </c>
    </row>
    <row r="28">
      <c r="A28" t="inlineStr">
        <is>
          <t>Scope 3 Cat 11 - Fuel Oil percentage</t>
        </is>
      </c>
      <c r="B28" t="inlineStr">
        <is>
          <t>15.0%</t>
        </is>
      </c>
    </row>
    <row r="29">
      <c r="A29" t="inlineStr">
        <is>
          <t>Scope 3 Cat 11 - Jet Fuel percentage</t>
        </is>
      </c>
      <c r="B29" t="inlineStr">
        <is>
          <t>10.0%</t>
        </is>
      </c>
    </row>
    <row r="30">
      <c r="A30" t="inlineStr">
        <is>
          <t>Scope 3 Cat 11 - LPG percentage</t>
        </is>
      </c>
      <c r="B30" t="inlineStr">
        <is>
          <t>8.0%</t>
        </is>
      </c>
    </row>
    <row r="31">
      <c r="A31" t="inlineStr">
        <is>
          <t>Scope 3 Cat 11 - Other Products percentage</t>
        </is>
      </c>
      <c r="B31" t="inlineStr">
        <is>
          <t>2.0%</t>
        </is>
      </c>
    </row>
    <row r="32">
      <c r="A32" t="inlineStr">
        <is>
          <t>Scope 3 Cat 11 - Percentage of total footprint</t>
        </is>
      </c>
      <c r="B32" t="inlineStr">
        <is>
          <t>94.4%</t>
        </is>
      </c>
    </row>
    <row r="33">
      <c r="A33" t="inlineStr">
        <is>
          <t>Scope 3 Cat 7 - Employee Commuting (tCO2e)</t>
        </is>
      </c>
      <c r="B33" t="inlineStr">
        <is>
          <t>30000</t>
        </is>
      </c>
    </row>
    <row r="34">
      <c r="A34" t="inlineStr">
        <is>
          <t>Refinery capacity (BPSD)</t>
        </is>
      </c>
      <c r="B34" t="inlineStr">
        <is>
          <t>160000</t>
        </is>
      </c>
    </row>
    <row r="35">
      <c r="A35" t="inlineStr">
        <is>
          <t>Base year</t>
        </is>
      </c>
      <c r="B35" t="inlineStr">
        <is>
          <t>2025</t>
        </is>
      </c>
    </row>
    <row r="36">
      <c r="A36" t="inlineStr">
        <is>
          <t>Reporting period start</t>
        </is>
      </c>
      <c r="B36" t="inlineStr">
        <is>
          <t>01/01/2025</t>
        </is>
      </c>
    </row>
    <row r="37">
      <c r="A37" t="inlineStr">
        <is>
          <t>Reporting period end</t>
        </is>
      </c>
      <c r="B37" t="inlineStr">
        <is>
          <t>31/12/2025</t>
        </is>
      </c>
    </row>
    <row r="38">
      <c r="A38" t="inlineStr">
        <is>
          <t>Potential energy savings from EMS</t>
        </is>
      </c>
      <c r="B38" t="inlineStr">
        <is>
          <t>5-10%</t>
        </is>
      </c>
    </row>
    <row r="39">
      <c r="A39" t="inlineStr">
        <is>
          <t>Operational control emissions percentage</t>
        </is>
      </c>
      <c r="B39" t="inlineStr">
        <is>
          <t>100%</t>
        </is>
      </c>
    </row>
    <row r="40">
      <c r="A40" t="inlineStr">
        <is>
          <t>Decarbonization potential estimate</t>
        </is>
      </c>
      <c r="B40" t="inlineStr">
        <is>
          <t>~1.4%</t>
        </is>
      </c>
    </row>
    <row r="41">
      <c r="A41" t="inlineStr">
        <is>
          <t>Uncertainty - Stationary Combustion</t>
        </is>
      </c>
      <c r="B41" t="inlineStr">
        <is>
          <t>±8%</t>
        </is>
      </c>
    </row>
    <row r="42">
      <c r="A42" t="inlineStr">
        <is>
          <t>Uncertainty - Process Emissions</t>
        </is>
      </c>
      <c r="B42" t="inlineStr">
        <is>
          <t>±12%</t>
        </is>
      </c>
    </row>
    <row r="43">
      <c r="A43" t="inlineStr">
        <is>
          <t>Uncertainty - Fugitive Emissions</t>
        </is>
      </c>
      <c r="B43" t="inlineStr">
        <is>
          <t>±30%</t>
        </is>
      </c>
    </row>
    <row r="44">
      <c r="A44" t="inlineStr">
        <is>
          <t>Uncertainty - Mobile Combustion</t>
        </is>
      </c>
      <c r="B44" t="inlineStr">
        <is>
          <t>±10%</t>
        </is>
      </c>
    </row>
    <row r="45">
      <c r="A45" t="inlineStr">
        <is>
          <t>Uncertainty - Scope 1 Total</t>
        </is>
      </c>
      <c r="B45" t="inlineStr">
        <is>
          <t>±10%</t>
        </is>
      </c>
    </row>
    <row r="46">
      <c r="A46" t="inlineStr">
        <is>
          <t>Uncertainty - Scope 2 Electricity</t>
        </is>
      </c>
      <c r="B46" t="inlineStr">
        <is>
          <t>±5%</t>
        </is>
      </c>
    </row>
    <row r="47">
      <c r="A47" t="inlineStr">
        <is>
          <t>Uncertainty - Scope 3 Cat 11</t>
        </is>
      </c>
      <c r="B47" t="inlineStr">
        <is>
          <t>±15%</t>
        </is>
      </c>
    </row>
    <row r="48">
      <c r="A48" t="inlineStr">
        <is>
          <t>Stationary Combustion - Lower bound (tCO2e)</t>
        </is>
      </c>
      <c r="B48" t="inlineStr">
        <is>
          <t>1076400</t>
        </is>
      </c>
    </row>
    <row r="49">
      <c r="A49" t="inlineStr">
        <is>
          <t>Process Emissions - Lower bound (tCO2e)</t>
        </is>
      </c>
      <c r="B49" t="inlineStr">
        <is>
          <t>285120</t>
        </is>
      </c>
    </row>
    <row r="50">
      <c r="A50" t="inlineStr">
        <is>
          <t>Fugitive Emissions - Lower bound (tCO2e)</t>
        </is>
      </c>
      <c r="B50" t="inlineStr">
        <is>
          <t>151200</t>
        </is>
      </c>
    </row>
    <row r="51">
      <c r="A51" t="inlineStr">
        <is>
          <t>Mobile Combustion - Lower bound (tCO2e)</t>
        </is>
      </c>
      <c r="B51" t="inlineStr">
        <is>
          <t>81000</t>
        </is>
      </c>
    </row>
    <row r="52">
      <c r="A52" t="inlineStr">
        <is>
          <t>Scope 1 Total - Lower bound (tCO2e)</t>
        </is>
      </c>
      <c r="B52" t="inlineStr">
        <is>
          <t>1620000</t>
        </is>
      </c>
    </row>
    <row r="53">
      <c r="A53" t="inlineStr">
        <is>
          <t>Scope 2 Electricity - Lower bound (tCO2e)</t>
        </is>
      </c>
      <c r="B53" t="inlineStr">
        <is>
          <t>237500</t>
        </is>
      </c>
    </row>
    <row r="54">
      <c r="A54" t="inlineStr">
        <is>
          <t>Scope 3 Cat 11 - Lower bound (tCO2e)</t>
        </is>
      </c>
      <c r="B54" t="inlineStr">
        <is>
          <t>29724500</t>
        </is>
      </c>
    </row>
    <row r="55">
      <c r="A55" t="inlineStr">
        <is>
          <t>Stationary Combustion - Upper bound (tCO2e)</t>
        </is>
      </c>
      <c r="B55" t="inlineStr">
        <is>
          <t>1263600</t>
        </is>
      </c>
    </row>
    <row r="56">
      <c r="A56" t="inlineStr">
        <is>
          <t>Process Emissions - Upper bound (tCO2e)</t>
        </is>
      </c>
      <c r="B56" t="inlineStr">
        <is>
          <t>362880</t>
        </is>
      </c>
    </row>
    <row r="57">
      <c r="A57" t="inlineStr">
        <is>
          <t>Fugitive Emissions - Upper bound (tCO2e)</t>
        </is>
      </c>
      <c r="B57" t="inlineStr">
        <is>
          <t>280800</t>
        </is>
      </c>
    </row>
    <row r="58">
      <c r="A58" t="inlineStr">
        <is>
          <t>Mobile Combustion - Upper bound (tCO2e)</t>
        </is>
      </c>
      <c r="B58" t="inlineStr">
        <is>
          <t>99000</t>
        </is>
      </c>
    </row>
    <row r="59">
      <c r="A59" t="inlineStr">
        <is>
          <t>Scope 1 Total - Upper bound (tCO2e)</t>
        </is>
      </c>
      <c r="B59" t="inlineStr">
        <is>
          <t>1980000</t>
        </is>
      </c>
    </row>
    <row r="60">
      <c r="A60" t="inlineStr">
        <is>
          <t>Scope 2 Electricity - Upper bound (tCO2e)</t>
        </is>
      </c>
      <c r="B60" t="inlineStr">
        <is>
          <t>262500</t>
        </is>
      </c>
    </row>
    <row r="61">
      <c r="A61" t="inlineStr">
        <is>
          <t>Scope 3 Cat 11 - Upper bound (tCO2e)</t>
        </is>
      </c>
      <c r="B61" t="inlineStr">
        <is>
          <t>40215500</t>
        </is>
      </c>
    </row>
    <row r="62">
      <c r="A62" t="inlineStr">
        <is>
          <t>Target uncertainty - Stationary after fuel gas GC</t>
        </is>
      </c>
      <c r="B62" t="inlineStr">
        <is>
          <t>±5%</t>
        </is>
      </c>
    </row>
    <row r="63">
      <c r="A63" t="inlineStr">
        <is>
          <t>Target uncertainty - Fugitives after LDAR/OGI</t>
        </is>
      </c>
      <c r="B63" t="inlineStr">
        <is>
          <t>±15%</t>
        </is>
      </c>
    </row>
    <row r="64">
      <c r="A64" t="inlineStr">
        <is>
          <t>Base year recalculation threshold</t>
        </is>
      </c>
      <c r="B64" t="inlineStr">
        <is>
          <t>5%</t>
        </is>
      </c>
    </row>
    <row r="65">
      <c r="A65" t="inlineStr">
        <is>
          <t>Materiality threshold percentage</t>
        </is>
      </c>
      <c r="B65" t="inlineStr">
        <is>
          <t>&gt;5%</t>
        </is>
      </c>
    </row>
    <row r="66">
      <c r="A66" t="inlineStr">
        <is>
          <t>Flare destruction efficiency (DRE)</t>
        </is>
      </c>
      <c r="B66" t="inlineStr">
        <is>
          <t>99.9%</t>
        </is>
      </c>
    </row>
    <row r="67">
      <c r="A67" t="inlineStr">
        <is>
          <t>Flare DRE decimal</t>
        </is>
      </c>
      <c r="B67" t="inlineStr">
        <is>
          <t>0.999</t>
        </is>
      </c>
    </row>
    <row r="68">
      <c r="A68" t="inlineStr">
        <is>
          <t>Expected mass balance closure tolerance</t>
        </is>
      </c>
      <c r="B68" t="inlineStr">
        <is>
          <t>±2%</t>
        </is>
      </c>
    </row>
    <row r="69">
      <c r="A69" t="inlineStr">
        <is>
          <t>YoY comparison investigation threshold</t>
        </is>
      </c>
      <c r="B69" t="inlineStr">
        <is>
          <t>&gt;20%</t>
        </is>
      </c>
    </row>
    <row r="70">
      <c r="A70" t="inlineStr">
        <is>
          <t>GWP - CO2</t>
        </is>
      </c>
      <c r="B70" t="inlineStr">
        <is>
          <t>1</t>
        </is>
      </c>
    </row>
    <row r="71">
      <c r="A71" t="inlineStr">
        <is>
          <t>GWP - CH4</t>
        </is>
      </c>
      <c r="B71" t="inlineStr">
        <is>
          <t>29.8</t>
        </is>
      </c>
    </row>
    <row r="72">
      <c r="A72" t="inlineStr">
        <is>
          <t>GWP - N2O</t>
        </is>
      </c>
      <c r="B72" t="inlineStr">
        <is>
          <t>273</t>
        </is>
      </c>
    </row>
    <row r="73">
      <c r="A73" t="inlineStr">
        <is>
          <t>Total energy input (GJ)</t>
        </is>
      </c>
      <c r="B73" t="inlineStr">
        <is>
          <t>58400000</t>
        </is>
      </c>
    </row>
    <row r="74">
      <c r="A74" t="inlineStr">
        <is>
          <t>Energy intensity calculation numerator (tCO2e)</t>
        </is>
      </c>
      <c r="B74" t="inlineStr">
        <is>
          <t>1800000</t>
        </is>
      </c>
    </row>
    <row r="75">
      <c r="A75" t="inlineStr">
        <is>
          <t>Energy intensity result (tCO2e/GJ)</t>
        </is>
      </c>
      <c r="B75" t="inlineStr">
        <is>
          <t>0.0308</t>
        </is>
      </c>
    </row>
    <row r="76">
      <c r="A76">
        <f>== SCOPE 1 BY GAS BREAKDOWN (ISO 14064-1 §9.3f) ===</f>
        <v/>
      </c>
      <c r="B76" t="inlineStr"/>
    </row>
    <row r="77">
      <c r="A77" t="inlineStr">
        <is>
          <t>Scope 1 - CO₂ emissions (tonnes of gas)</t>
        </is>
      </c>
      <c r="B77" t="inlineStr">
        <is>
          <t>1746000</t>
        </is>
      </c>
    </row>
    <row r="78">
      <c r="A78" t="inlineStr">
        <is>
          <t>Scope 1 - CO₂ emissions (tCO₂e)</t>
        </is>
      </c>
      <c r="B78" t="inlineStr">
        <is>
          <t>1746000</t>
        </is>
      </c>
    </row>
    <row r="79">
      <c r="A79" t="inlineStr">
        <is>
          <t>Scope 1 - CO₂ percentage of Scope 1</t>
        </is>
      </c>
      <c r="B79" t="inlineStr">
        <is>
          <t>97.0%</t>
        </is>
      </c>
    </row>
    <row r="80">
      <c r="A80" t="inlineStr">
        <is>
          <t>Scope 1 - CH₄ emissions (tonnes of gas)</t>
        </is>
      </c>
      <c r="B80" t="inlineStr">
        <is>
          <t>1613</t>
        </is>
      </c>
    </row>
    <row r="81">
      <c r="A81" t="inlineStr">
        <is>
          <t>Scope 1 - CH₄ emissions (tCO₂e)</t>
        </is>
      </c>
      <c r="B81" t="inlineStr">
        <is>
          <t>45000</t>
        </is>
      </c>
    </row>
    <row r="82">
      <c r="A82" t="inlineStr">
        <is>
          <t>Scope 1 - CH₄ percentage of Scope 1</t>
        </is>
      </c>
      <c r="B82" t="inlineStr">
        <is>
          <t>2.5%</t>
        </is>
      </c>
    </row>
    <row r="83">
      <c r="A83" t="inlineStr">
        <is>
          <t>Scope 1 - N₂O emissions (tonnes of gas)</t>
        </is>
      </c>
      <c r="B83" t="inlineStr">
        <is>
          <t>33</t>
        </is>
      </c>
    </row>
    <row r="84">
      <c r="A84" t="inlineStr">
        <is>
          <t>Scope 1 - N₂O emissions (tCO₂e)</t>
        </is>
      </c>
      <c r="B84" t="inlineStr">
        <is>
          <t>9000</t>
        </is>
      </c>
    </row>
    <row r="85">
      <c r="A85" t="inlineStr">
        <is>
          <t>Scope 1 - N₂O percentage of Scope 1</t>
        </is>
      </c>
      <c r="B85" t="inlineStr">
        <is>
          <t>0.5%</t>
        </is>
      </c>
    </row>
    <row r="86">
      <c r="A86" t="inlineStr"/>
      <c r="B86" t="inlineStr"/>
    </row>
    <row r="87">
      <c r="A87">
        <f>== BIOGENIC CO₂ &amp; REMOVALS (ISO 14064-1 §9.3g-i) ===</f>
        <v/>
      </c>
      <c r="B87" t="inlineStr"/>
    </row>
    <row r="88">
      <c r="A88" t="inlineStr">
        <is>
          <t>Biogenic CO₂ emissions (tCO₂e)</t>
        </is>
      </c>
      <c r="B88" t="inlineStr">
        <is>
          <t>0</t>
        </is>
      </c>
    </row>
    <row r="89">
      <c r="A89" t="inlineStr">
        <is>
          <t>Biogenic CO₂ removals (tCO₂e)</t>
        </is>
      </c>
      <c r="B89" t="inlineStr">
        <is>
          <t>0</t>
        </is>
      </c>
    </row>
    <row r="90">
      <c r="A90" t="inlineStr">
        <is>
          <t>Direct GHG removals from sinks (tCO₂e)</t>
        </is>
      </c>
      <c r="B90" t="inlineStr">
        <is>
          <t>0</t>
        </is>
      </c>
    </row>
    <row r="91">
      <c r="A91" t="inlineStr"/>
      <c r="B91" t="inlineStr"/>
    </row>
    <row r="92">
      <c r="A92">
        <f>== SIGNIFICANCE CRITERIA (ISO 14064-1 §9.3e) ===</f>
        <v/>
      </c>
      <c r="B92" t="inlineStr"/>
    </row>
    <row r="93">
      <c r="A93" t="inlineStr">
        <is>
          <t>Scope 3 category threshold (% of total)</t>
        </is>
      </c>
      <c r="B93" t="inlineStr">
        <is>
          <t>≥1%</t>
        </is>
      </c>
    </row>
    <row r="94">
      <c r="A94" t="inlineStr">
        <is>
          <t>Total emissions coverage target</t>
        </is>
      </c>
      <c r="B94" t="inlineStr">
        <is>
          <t>≥95%</t>
        </is>
      </c>
    </row>
    <row r="95">
      <c r="A95" t="inlineStr"/>
      <c r="B95" t="inlineStr"/>
    </row>
    <row r="96">
      <c r="A96">
        <f>== UNCERTAINTY IMPACT (ISO 14064-1 §9.3p-q) ===</f>
        <v/>
      </c>
      <c r="B96" t="inlineStr"/>
    </row>
    <row r="97">
      <c r="A97" t="inlineStr">
        <is>
          <t>Scope 1 uncertainty (±% at 95% CI)</t>
        </is>
      </c>
      <c r="B97" t="inlineStr">
        <is>
          <t>±10%</t>
        </is>
      </c>
    </row>
    <row r="98">
      <c r="A98" t="inlineStr">
        <is>
          <t>Scope 2 uncertainty (±% at 95% CI)</t>
        </is>
      </c>
      <c r="B98" t="inlineStr">
        <is>
          <t>±5%</t>
        </is>
      </c>
    </row>
    <row r="99">
      <c r="A99" t="inlineStr">
        <is>
          <t>Scope 3 Cat. 11 uncertainty (±% at 95% CI)</t>
        </is>
      </c>
      <c r="B99" t="inlineStr">
        <is>
          <t>±15%</t>
        </is>
      </c>
    </row>
    <row r="100">
      <c r="A100" t="inlineStr">
        <is>
          <t>Overall inventory uncertainty (±% at 95% CI)</t>
        </is>
      </c>
      <c r="B100" t="inlineStr">
        <is>
          <t>±14%</t>
        </is>
      </c>
    </row>
    <row r="101">
      <c r="A101" t="inlineStr">
        <is>
          <t>Scope 1 lower bound (tCO₂e)</t>
        </is>
      </c>
      <c r="B101" t="inlineStr">
        <is>
          <t>1620000</t>
        </is>
      </c>
    </row>
    <row r="102">
      <c r="A102" t="inlineStr">
        <is>
          <t>Scope 1 upper bound (tCO₂e)</t>
        </is>
      </c>
      <c r="B102" t="inlineStr">
        <is>
          <t>1980000</t>
        </is>
      </c>
    </row>
    <row r="103">
      <c r="A103" t="inlineStr">
        <is>
          <t>Scope 2 lower bound (tCO₂e)</t>
        </is>
      </c>
      <c r="B103" t="inlineStr">
        <is>
          <t>237500</t>
        </is>
      </c>
    </row>
    <row r="104">
      <c r="A104" t="inlineStr">
        <is>
          <t>Scope 2 upper bound (tCO₂e)</t>
        </is>
      </c>
      <c r="B104" t="inlineStr">
        <is>
          <t>262500</t>
        </is>
      </c>
    </row>
    <row r="105">
      <c r="A105" t="inlineStr"/>
      <c r="B105" t="inlineStr"/>
    </row>
    <row r="106">
      <c r="A106">
        <f>== REPORTING METHOD CLARIFICATIONS ===</f>
        <v/>
      </c>
      <c r="B106" t="inlineStr"/>
    </row>
    <row r="107">
      <c r="A107" t="inlineStr">
        <is>
          <t>Scope 2 reporting method</t>
        </is>
      </c>
      <c r="B107" t="inlineStr">
        <is>
          <t>Location-based only</t>
        </is>
      </c>
    </row>
    <row r="108">
      <c r="A108" t="inlineStr">
        <is>
          <t>Market-based instruments used</t>
        </is>
      </c>
      <c r="B108" t="inlineStr">
        <is>
          <t>No</t>
        </is>
      </c>
    </row>
    <row r="109">
      <c r="A109" t="inlineStr">
        <is>
          <t>GHG offsets claimed</t>
        </is>
      </c>
      <c r="B109" t="inlineStr">
        <is>
          <t>No</t>
        </is>
      </c>
    </row>
    <row r="110">
      <c r="A110" t="inlineStr">
        <is>
          <t>Carbon credits claimed</t>
        </is>
      </c>
      <c r="B110" t="inlineStr">
        <is>
          <t>No</t>
        </is>
      </c>
    </row>
    <row r="111">
      <c r="A111" t="inlineStr">
        <is>
          <t>RECs or guarantees of origin</t>
        </is>
      </c>
      <c r="B111" t="inlineStr">
        <is>
          <t>No</t>
        </is>
      </c>
    </row>
    <row r="112">
      <c r="A112" t="inlineStr"/>
      <c r="B112" t="inlineStr"/>
    </row>
    <row r="113">
      <c r="A113">
        <f>== GWP VALUES (ISO 14064-1 §9.3t) ===</f>
        <v/>
      </c>
      <c r="B113" t="inlineStr"/>
    </row>
    <row r="114">
      <c r="A114" t="inlineStr">
        <is>
          <t>GWP source</t>
        </is>
      </c>
      <c r="B114" t="inlineStr">
        <is>
          <t>IPCC AR6 (2021)</t>
        </is>
      </c>
    </row>
    <row r="115">
      <c r="A115" t="inlineStr">
        <is>
          <t>GWP time horizon</t>
        </is>
      </c>
      <c r="B115" t="inlineStr">
        <is>
          <t>100 years</t>
        </is>
      </c>
    </row>
    <row r="116">
      <c r="A116" t="inlineStr">
        <is>
          <t>GWP - CO₂</t>
        </is>
      </c>
      <c r="B116" t="inlineStr">
        <is>
          <t>1</t>
        </is>
      </c>
    </row>
    <row r="117">
      <c r="A117" t="inlineStr">
        <is>
          <t>GWP - CH₄</t>
        </is>
      </c>
      <c r="B117" t="inlineStr">
        <is>
          <t>27.9</t>
        </is>
      </c>
    </row>
    <row r="118">
      <c r="A118" t="inlineStr">
        <is>
          <t>GWP - N₂O</t>
        </is>
      </c>
      <c r="B118" t="inlineStr">
        <is>
          <t>273</t>
        </is>
      </c>
    </row>
    <row r="119">
      <c r="A119" t="inlineStr"/>
      <c r="B119" t="inlineStr"/>
    </row>
    <row r="120">
      <c r="A120">
        <f>== COMPLIANCE STATUS ===</f>
        <v/>
      </c>
      <c r="B120" t="inlineStr"/>
    </row>
    <row r="121">
      <c r="A121" t="inlineStr">
        <is>
          <t>ISO 14064-1:2018 compliance</t>
        </is>
      </c>
      <c r="B121" t="inlineStr">
        <is>
          <t>Full compliance</t>
        </is>
      </c>
    </row>
    <row r="122">
      <c r="A122" t="inlineStr">
        <is>
          <t>GHG Protocol Corporate Standard compliance</t>
        </is>
      </c>
      <c r="B122" t="inlineStr">
        <is>
          <t>Full compliance</t>
        </is>
      </c>
    </row>
    <row r="123">
      <c r="A123" t="inlineStr">
        <is>
          <t>ISO 14069 (TR) alignment</t>
        </is>
      </c>
      <c r="B123" t="inlineStr">
        <is>
          <t>Yes</t>
        </is>
      </c>
    </row>
    <row r="124">
      <c r="A124" t="inlineStr">
        <is>
          <t>Third-party verification status</t>
        </is>
      </c>
      <c r="B124" t="inlineStr">
        <is>
          <t>Not yet verified</t>
        </is>
      </c>
    </row>
    <row r="125">
      <c r="A125" t="inlineStr">
        <is>
          <t>Planned assurance level</t>
        </is>
      </c>
      <c r="B125" t="inlineStr">
        <is>
          <t>Limited or Reasonable (ISO 14064-3)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2025-11-13T07:50:02Z</dcterms:created>
  <dcterms:modified xsi:type="dcterms:W3CDTF">2025-11-13T14:12:18Z</dcterms:modified>
</cp:coreProperties>
</file>